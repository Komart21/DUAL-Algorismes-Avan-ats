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as Normales" sheetId="1" r:id="rId1"/>
    <sheet name="Notas Anónimas" sheetId="2" r:id="rId2"/>
  </sheets>
  <calcPr calcId="124519" fullCalcOnLoad="1"/>
</workbook>
</file>

<file path=xl/sharedStrings.xml><?xml version="1.0" encoding="utf-8"?>
<sst xmlns="http://schemas.openxmlformats.org/spreadsheetml/2006/main" count="82" uniqueCount="73">
  <si>
    <t>Nom</t>
  </si>
  <si>
    <t>Faltas</t>
  </si>
  <si>
    <t>PR01</t>
  </si>
  <si>
    <t>PR02</t>
  </si>
  <si>
    <t>PR03</t>
  </si>
  <si>
    <t>PR04</t>
  </si>
  <si>
    <t>EX01</t>
  </si>
  <si>
    <t>Vàlid</t>
  </si>
  <si>
    <t>Nota Final</t>
  </si>
  <si>
    <t>ID</t>
  </si>
  <si>
    <t>Leonardo da Vinci</t>
  </si>
  <si>
    <t>3920</t>
  </si>
  <si>
    <t>Albert Einstein</t>
  </si>
  <si>
    <t>2183</t>
  </si>
  <si>
    <t>Isaac Newton</t>
  </si>
  <si>
    <t>8392</t>
  </si>
  <si>
    <t>Marie Curie</t>
  </si>
  <si>
    <t>9184</t>
  </si>
  <si>
    <t>Galileo Galilei</t>
  </si>
  <si>
    <t>Nikola Tesla</t>
  </si>
  <si>
    <t>8394</t>
  </si>
  <si>
    <t>Aristotle</t>
  </si>
  <si>
    <t>3021</t>
  </si>
  <si>
    <t>Plato</t>
  </si>
  <si>
    <t>0293</t>
  </si>
  <si>
    <t>Confucius</t>
  </si>
  <si>
    <t>1837</t>
  </si>
  <si>
    <t>Charles Darwin</t>
  </si>
  <si>
    <t>9201</t>
  </si>
  <si>
    <t>Socrates</t>
  </si>
  <si>
    <t>2038</t>
  </si>
  <si>
    <t>Alexander the Great</t>
  </si>
  <si>
    <t>2918</t>
  </si>
  <si>
    <t>Julius Caesar</t>
  </si>
  <si>
    <t>7123</t>
  </si>
  <si>
    <t>Hippocrates</t>
  </si>
  <si>
    <t>4365</t>
  </si>
  <si>
    <t>Homer</t>
  </si>
  <si>
    <t>5310</t>
  </si>
  <si>
    <t>Genghis Khan</t>
  </si>
  <si>
    <t>6098</t>
  </si>
  <si>
    <t>Sun Tzu</t>
  </si>
  <si>
    <t>8765</t>
  </si>
  <si>
    <t>Ramses II</t>
  </si>
  <si>
    <t>3789</t>
  </si>
  <si>
    <t>Cleopatra</t>
  </si>
  <si>
    <t>4321</t>
  </si>
  <si>
    <t>Martin Luther</t>
  </si>
  <si>
    <t>7777</t>
  </si>
  <si>
    <t>Shakespeare</t>
  </si>
  <si>
    <t>0001</t>
  </si>
  <si>
    <t>Marco Polo</t>
  </si>
  <si>
    <t>3333</t>
  </si>
  <si>
    <t>Johannes Gutenberg</t>
  </si>
  <si>
    <t>8888</t>
  </si>
  <si>
    <t>Christopher Columbus</t>
  </si>
  <si>
    <t>9999</t>
  </si>
  <si>
    <t>Ferdinand Magellan</t>
  </si>
  <si>
    <t>2222</t>
  </si>
  <si>
    <t>Joan of Arc</t>
  </si>
  <si>
    <t>1111</t>
  </si>
  <si>
    <t>Catherine the Great</t>
  </si>
  <si>
    <t>6666</t>
  </si>
  <si>
    <t>Mahatma Gandhi</t>
  </si>
  <si>
    <t>4444</t>
  </si>
  <si>
    <t>Winston Churchill</t>
  </si>
  <si>
    <t>5555</t>
  </si>
  <si>
    <t>Abraham Lincoln</t>
  </si>
  <si>
    <t>3123</t>
  </si>
  <si>
    <t>Napoleon Bonaparte</t>
  </si>
  <si>
    <t>1321</t>
  </si>
  <si>
    <t>William the Conqueror</t>
  </si>
  <si>
    <t>7654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</si>
</sst>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3">
    <dxf>
      <font>
        <color rgb="FFFF0000"/>
      </font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00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s="2">
        <v>0</v>
      </c>
      <c r="C2" s="2">
        <v>0.1</v>
      </c>
      <c r="D2" s="2">
        <v>0.1</v>
      </c>
      <c r="E2" s="2">
        <v>0.1</v>
      </c>
      <c r="F2" s="2">
        <v>0.2</v>
      </c>
      <c r="G2" s="2">
        <v>0.5</v>
      </c>
    </row>
    <row r="3" spans="1:9">
      <c r="A3" t="s">
        <v>10</v>
      </c>
      <c r="B3">
        <v>6</v>
      </c>
      <c r="C3">
        <v>8.9</v>
      </c>
      <c r="D3">
        <v>6.5</v>
      </c>
      <c r="E3">
        <v>8</v>
      </c>
      <c r="F3">
        <v>7.3</v>
      </c>
      <c r="G3">
        <v>4.5</v>
      </c>
      <c r="H3" s="2">
        <f>IF(AND(B3&lt;=20, F3&gt;=2.5), "Sí", "No")</f>
        <v>0</v>
      </c>
      <c r="I3" s="3">
        <f>IF(G3="No", 1, SUMPRODUCT(C3:F3, $C$2:$F$2))</f>
        <v>0</v>
      </c>
    </row>
    <row r="4" spans="1:9">
      <c r="A4" t="s">
        <v>12</v>
      </c>
      <c r="B4">
        <v>6</v>
      </c>
      <c r="C4">
        <v>0</v>
      </c>
      <c r="D4">
        <v>0</v>
      </c>
      <c r="E4">
        <v>0</v>
      </c>
      <c r="F4">
        <v>0</v>
      </c>
      <c r="G4">
        <v>0</v>
      </c>
      <c r="H4" s="2">
        <f>IF(AND(B4&lt;=20, F4&gt;=2.5), "Sí", "No")</f>
        <v>0</v>
      </c>
      <c r="I4" s="3">
        <f>IF(G4="No", 1, SUMPRODUCT(C4:F4, $C$2:$F$2))</f>
        <v>0</v>
      </c>
    </row>
    <row r="5" spans="1:9">
      <c r="A5" t="s">
        <v>14</v>
      </c>
      <c r="B5">
        <v>9</v>
      </c>
      <c r="C5">
        <v>3.5</v>
      </c>
      <c r="D5">
        <v>1.3</v>
      </c>
      <c r="E5">
        <v>3.5</v>
      </c>
      <c r="F5">
        <v>7.5</v>
      </c>
      <c r="G5">
        <v>4.5</v>
      </c>
      <c r="H5" s="2">
        <f>IF(AND(B5&lt;=20, F5&gt;=2.5), "Sí", "No")</f>
        <v>0</v>
      </c>
      <c r="I5" s="3">
        <f>IF(G5="No", 1, SUMPRODUCT(C5:F5, $C$2:$F$2))</f>
        <v>0</v>
      </c>
    </row>
    <row r="6" spans="1:9">
      <c r="A6" t="s">
        <v>16</v>
      </c>
      <c r="B6">
        <v>3</v>
      </c>
      <c r="C6">
        <v>5</v>
      </c>
      <c r="D6">
        <v>5.5</v>
      </c>
      <c r="E6">
        <v>4</v>
      </c>
      <c r="F6">
        <v>6.3</v>
      </c>
      <c r="G6">
        <v>3</v>
      </c>
      <c r="H6" s="2">
        <f>IF(AND(B6&lt;=20, F6&gt;=2.5), "Sí", "No")</f>
        <v>0</v>
      </c>
      <c r="I6" s="3">
        <f>IF(G6="No", 1, SUMPRODUCT(C6:F6, $C$2:$F$2))</f>
        <v>0</v>
      </c>
    </row>
    <row r="7" spans="1:9">
      <c r="A7" t="s">
        <v>18</v>
      </c>
      <c r="B7">
        <v>9</v>
      </c>
      <c r="C7">
        <v>5.9</v>
      </c>
      <c r="D7">
        <v>7.3</v>
      </c>
      <c r="E7">
        <v>4.5</v>
      </c>
      <c r="F7">
        <v>6.3</v>
      </c>
      <c r="G7">
        <v>4</v>
      </c>
      <c r="H7" s="2">
        <f>IF(AND(B7&lt;=20, F7&gt;=2.5), "Sí", "No")</f>
        <v>0</v>
      </c>
      <c r="I7" s="3">
        <f>IF(G7="No", 1, SUMPRODUCT(C7:F7, $C$2:$F$2))</f>
        <v>0</v>
      </c>
    </row>
    <row r="8" spans="1:9">
      <c r="A8" t="s">
        <v>19</v>
      </c>
      <c r="B8">
        <v>6</v>
      </c>
      <c r="C8">
        <v>4.3</v>
      </c>
      <c r="D8">
        <v>4.8</v>
      </c>
      <c r="E8">
        <v>3.5</v>
      </c>
      <c r="F8">
        <v>6.3</v>
      </c>
      <c r="G8">
        <v>0.5</v>
      </c>
      <c r="H8" s="2">
        <f>IF(AND(B8&lt;=20, F8&gt;=2.5), "Sí", "No")</f>
        <v>0</v>
      </c>
      <c r="I8" s="3">
        <f>IF(G8="No", 1, SUMPRODUCT(C8:F8, $C$2:$F$2))</f>
        <v>0</v>
      </c>
    </row>
    <row r="9" spans="1:9">
      <c r="A9" t="s">
        <v>21</v>
      </c>
      <c r="B9">
        <v>55</v>
      </c>
      <c r="C9">
        <v>2.1</v>
      </c>
      <c r="D9">
        <v>4.8</v>
      </c>
      <c r="E9">
        <v>0</v>
      </c>
      <c r="F9">
        <v>0</v>
      </c>
      <c r="G9">
        <v>0</v>
      </c>
      <c r="H9" s="2">
        <f>IF(AND(B9&lt;=20, F9&gt;=2.5), "Sí", "No")</f>
        <v>0</v>
      </c>
      <c r="I9" s="3">
        <f>IF(G9="No", 1, SUMPRODUCT(C9:F9, $C$2:$F$2))</f>
        <v>0</v>
      </c>
    </row>
    <row r="10" spans="1:9">
      <c r="A10" t="s">
        <v>23</v>
      </c>
      <c r="B10">
        <v>94</v>
      </c>
      <c r="C10">
        <v>0</v>
      </c>
      <c r="D10">
        <v>0</v>
      </c>
      <c r="E10">
        <v>0</v>
      </c>
      <c r="F10">
        <v>0</v>
      </c>
      <c r="G10">
        <v>0</v>
      </c>
      <c r="H10" s="2">
        <f>IF(AND(B10&lt;=20, F10&gt;=2.5), "Sí", "No")</f>
        <v>0</v>
      </c>
      <c r="I10" s="3">
        <f>IF(G10="No", 1, SUMPRODUCT(C10:F10, $C$2:$F$2))</f>
        <v>0</v>
      </c>
    </row>
    <row r="11" spans="1:9">
      <c r="A11" t="s">
        <v>25</v>
      </c>
      <c r="B11">
        <v>42</v>
      </c>
      <c r="C11">
        <v>3.6</v>
      </c>
      <c r="D11">
        <v>3.5</v>
      </c>
      <c r="E11">
        <v>1.5</v>
      </c>
      <c r="F11">
        <v>0</v>
      </c>
      <c r="G11">
        <v>0</v>
      </c>
      <c r="H11" s="2">
        <f>IF(AND(B11&lt;=20, F11&gt;=2.5), "Sí", "No")</f>
        <v>0</v>
      </c>
      <c r="I11" s="3">
        <f>IF(G11="No", 1, SUMPRODUCT(C11:F11, $C$2:$F$2))</f>
        <v>0</v>
      </c>
    </row>
    <row r="12" spans="1:9">
      <c r="A12" t="s">
        <v>27</v>
      </c>
      <c r="B12">
        <v>18</v>
      </c>
      <c r="C12">
        <v>6.3</v>
      </c>
      <c r="D12">
        <v>6</v>
      </c>
      <c r="E12">
        <v>4</v>
      </c>
      <c r="F12">
        <v>7.8</v>
      </c>
      <c r="G12">
        <v>8</v>
      </c>
      <c r="H12" s="2">
        <f>IF(AND(B12&lt;=20, F12&gt;=2.5), "Sí", "No")</f>
        <v>0</v>
      </c>
      <c r="I12" s="3">
        <f>IF(G12="No", 1, SUMPRODUCT(C12:F12, $C$2:$F$2))</f>
        <v>0</v>
      </c>
    </row>
    <row r="13" spans="1:9">
      <c r="A13" t="s">
        <v>29</v>
      </c>
      <c r="B13">
        <v>9</v>
      </c>
      <c r="C13">
        <v>3.9</v>
      </c>
      <c r="D13">
        <v>6</v>
      </c>
      <c r="E13">
        <v>5.5</v>
      </c>
      <c r="F13">
        <v>7.8</v>
      </c>
      <c r="G13">
        <v>5</v>
      </c>
      <c r="H13" s="2">
        <f>IF(AND(B13&lt;=20, F13&gt;=2.5), "Sí", "No")</f>
        <v>0</v>
      </c>
      <c r="I13" s="3">
        <f>IF(G13="No", 1, SUMPRODUCT(C13:F13, $C$2:$F$2))</f>
        <v>0</v>
      </c>
    </row>
    <row r="14" spans="1:9">
      <c r="A14" t="s">
        <v>31</v>
      </c>
      <c r="B14">
        <v>6</v>
      </c>
      <c r="C14">
        <v>7.9</v>
      </c>
      <c r="D14">
        <v>5.5</v>
      </c>
      <c r="E14">
        <v>5</v>
      </c>
      <c r="F14">
        <v>9</v>
      </c>
      <c r="G14">
        <v>6.5</v>
      </c>
      <c r="H14" s="2">
        <f>IF(AND(B14&lt;=20, F14&gt;=2.5), "Sí", "No")</f>
        <v>0</v>
      </c>
      <c r="I14" s="3">
        <f>IF(G14="No", 1, SUMPRODUCT(C14:F14, $C$2:$F$2))</f>
        <v>0</v>
      </c>
    </row>
    <row r="15" spans="1:9">
      <c r="A15" t="s">
        <v>33</v>
      </c>
      <c r="B15">
        <v>94</v>
      </c>
      <c r="C15">
        <v>0</v>
      </c>
      <c r="D15">
        <v>0</v>
      </c>
      <c r="E15">
        <v>0</v>
      </c>
      <c r="F15">
        <v>0</v>
      </c>
      <c r="G15">
        <v>0</v>
      </c>
      <c r="H15" s="2">
        <f>IF(AND(B15&lt;=20, F15&gt;=2.5), "Sí", "No")</f>
        <v>0</v>
      </c>
      <c r="I15" s="3">
        <f>IF(G15="No", 1, SUMPRODUCT(C15:F15, $C$2:$F$2))</f>
        <v>0</v>
      </c>
    </row>
    <row r="16" spans="1:9">
      <c r="A16" t="s">
        <v>35</v>
      </c>
      <c r="B16">
        <v>6</v>
      </c>
      <c r="C16">
        <v>7.1</v>
      </c>
      <c r="D16">
        <v>8</v>
      </c>
      <c r="E16">
        <v>8</v>
      </c>
      <c r="F16">
        <v>9</v>
      </c>
      <c r="G16">
        <v>9</v>
      </c>
      <c r="H16" s="2">
        <f>IF(AND(B16&lt;=20, F16&gt;=2.5), "Sí", "No")</f>
        <v>0</v>
      </c>
      <c r="I16" s="3">
        <f>IF(G16="No", 1, SUMPRODUCT(C16:F16, $C$2:$F$2))</f>
        <v>0</v>
      </c>
    </row>
    <row r="17" spans="1:9">
      <c r="A17" t="s">
        <v>37</v>
      </c>
      <c r="B17">
        <v>15</v>
      </c>
      <c r="C17">
        <v>6.6</v>
      </c>
      <c r="D17">
        <v>5.3</v>
      </c>
      <c r="E17">
        <v>7.5</v>
      </c>
      <c r="F17">
        <v>9</v>
      </c>
      <c r="G17">
        <v>8</v>
      </c>
      <c r="H17" s="2">
        <f>IF(AND(B17&lt;=20, F17&gt;=2.5), "Sí", "No")</f>
        <v>0</v>
      </c>
      <c r="I17" s="3">
        <f>IF(G17="No", 1, SUMPRODUCT(C17:F17, $C$2:$F$2))</f>
        <v>0</v>
      </c>
    </row>
    <row r="18" spans="1:9">
      <c r="A18" t="s">
        <v>39</v>
      </c>
      <c r="B18">
        <v>6</v>
      </c>
      <c r="C18">
        <v>8.9</v>
      </c>
      <c r="D18">
        <v>6</v>
      </c>
      <c r="E18">
        <v>5</v>
      </c>
      <c r="F18">
        <v>7.8</v>
      </c>
      <c r="G18">
        <v>8.5</v>
      </c>
      <c r="H18" s="2">
        <f>IF(AND(B18&lt;=20, F18&gt;=2.5), "Sí", "No")</f>
        <v>0</v>
      </c>
      <c r="I18" s="3">
        <f>IF(G18="No", 1, SUMPRODUCT(C18:F18, $C$2:$F$2))</f>
        <v>0</v>
      </c>
    </row>
    <row r="19" spans="1:9">
      <c r="A19" t="s">
        <v>41</v>
      </c>
      <c r="B19">
        <v>6</v>
      </c>
      <c r="C19">
        <v>4.3</v>
      </c>
      <c r="D19">
        <v>6.8</v>
      </c>
      <c r="E19">
        <v>4.5</v>
      </c>
      <c r="F19">
        <v>4.8</v>
      </c>
      <c r="G19">
        <v>4.5</v>
      </c>
      <c r="H19" s="2">
        <f>IF(AND(B19&lt;=20, F19&gt;=2.5), "Sí", "No")</f>
        <v>0</v>
      </c>
      <c r="I19" s="3">
        <f>IF(G19="No", 1, SUMPRODUCT(C19:F19, $C$2:$F$2))</f>
        <v>0</v>
      </c>
    </row>
    <row r="20" spans="1:9">
      <c r="A20" t="s">
        <v>43</v>
      </c>
      <c r="B20">
        <v>15</v>
      </c>
      <c r="C20">
        <v>6</v>
      </c>
      <c r="D20">
        <v>4.3</v>
      </c>
      <c r="E20">
        <v>4</v>
      </c>
      <c r="F20">
        <v>5.3</v>
      </c>
      <c r="G20">
        <v>4</v>
      </c>
      <c r="H20" s="2">
        <f>IF(AND(B20&lt;=20, F20&gt;=2.5), "Sí", "No")</f>
        <v>0</v>
      </c>
      <c r="I20" s="3">
        <f>IF(G20="No", 1, SUMPRODUCT(C20:F20, $C$2:$F$2))</f>
        <v>0</v>
      </c>
    </row>
    <row r="21" spans="1:9">
      <c r="A21" t="s">
        <v>45</v>
      </c>
      <c r="B21">
        <v>0</v>
      </c>
      <c r="C21">
        <v>5.3</v>
      </c>
      <c r="D21">
        <v>4.3</v>
      </c>
      <c r="E21">
        <v>4.5</v>
      </c>
      <c r="F21">
        <v>3</v>
      </c>
      <c r="G21">
        <v>6</v>
      </c>
      <c r="H21" s="2">
        <f>IF(AND(B21&lt;=20, F21&gt;=2.5), "Sí", "No")</f>
        <v>0</v>
      </c>
      <c r="I21" s="3">
        <f>IF(G21="No", 1, SUMPRODUCT(C21:F21, $C$2:$F$2))</f>
        <v>0</v>
      </c>
    </row>
    <row r="22" spans="1:9">
      <c r="A22" t="s">
        <v>47</v>
      </c>
      <c r="B22">
        <v>15</v>
      </c>
      <c r="C22">
        <v>5.9</v>
      </c>
      <c r="D22">
        <v>3.5</v>
      </c>
      <c r="E22">
        <v>2.5</v>
      </c>
      <c r="F22">
        <v>7.8</v>
      </c>
      <c r="G22">
        <v>5.5</v>
      </c>
      <c r="H22" s="2">
        <f>IF(AND(B22&lt;=20, F22&gt;=2.5), "Sí", "No")</f>
        <v>0</v>
      </c>
      <c r="I22" s="3">
        <f>IF(G22="No", 1, SUMPRODUCT(C22:F22, $C$2:$F$2))</f>
        <v>0</v>
      </c>
    </row>
    <row r="23" spans="1:9">
      <c r="A23" t="s">
        <v>49</v>
      </c>
      <c r="B23">
        <v>6</v>
      </c>
      <c r="C23">
        <v>7.1</v>
      </c>
      <c r="D23">
        <v>7.8</v>
      </c>
      <c r="E23">
        <v>6</v>
      </c>
      <c r="F23">
        <v>9</v>
      </c>
      <c r="G23">
        <v>8</v>
      </c>
      <c r="H23" s="2">
        <f>IF(AND(B23&lt;=20, F23&gt;=2.5), "Sí", "No")</f>
        <v>0</v>
      </c>
      <c r="I23" s="3">
        <f>IF(G23="No", 1, SUMPRODUCT(C23:F23, $C$2:$F$2))</f>
        <v>0</v>
      </c>
    </row>
    <row r="24" spans="1:9">
      <c r="A24" t="s">
        <v>51</v>
      </c>
      <c r="B24">
        <v>6</v>
      </c>
      <c r="C24">
        <v>5.5</v>
      </c>
      <c r="D24">
        <v>3</v>
      </c>
      <c r="E24">
        <v>5.5</v>
      </c>
      <c r="F24">
        <v>6</v>
      </c>
      <c r="G24">
        <v>4</v>
      </c>
      <c r="H24" s="2">
        <f>IF(AND(B24&lt;=20, F24&gt;=2.5), "Sí", "No")</f>
        <v>0</v>
      </c>
      <c r="I24" s="3">
        <f>IF(G24="No", 1, SUMPRODUCT(C24:F24, $C$2:$F$2))</f>
        <v>0</v>
      </c>
    </row>
    <row r="25" spans="1:9">
      <c r="A25" t="s">
        <v>53</v>
      </c>
      <c r="B25">
        <v>3</v>
      </c>
      <c r="C25">
        <v>4.9</v>
      </c>
      <c r="D25">
        <v>2.5</v>
      </c>
      <c r="E25">
        <v>3</v>
      </c>
      <c r="F25">
        <v>4.8</v>
      </c>
      <c r="G25">
        <v>1.5</v>
      </c>
      <c r="H25" s="2">
        <f>IF(AND(B25&lt;=20, F25&gt;=2.5), "Sí", "No")</f>
        <v>0</v>
      </c>
      <c r="I25" s="3">
        <f>IF(G25="No", 1, SUMPRODUCT(C25:F25, $C$2:$F$2))</f>
        <v>0</v>
      </c>
    </row>
    <row r="26" spans="1:9">
      <c r="A26" t="s">
        <v>55</v>
      </c>
      <c r="B26">
        <v>0</v>
      </c>
      <c r="C26">
        <v>3.4</v>
      </c>
      <c r="D26">
        <v>5</v>
      </c>
      <c r="E26">
        <v>5.5</v>
      </c>
      <c r="F26">
        <v>8.5</v>
      </c>
      <c r="G26">
        <v>4.5</v>
      </c>
      <c r="H26" s="2">
        <f>IF(AND(B26&lt;=20, F26&gt;=2.5), "Sí", "No")</f>
        <v>0</v>
      </c>
      <c r="I26" s="3">
        <f>IF(G26="No", 1, SUMPRODUCT(C26:F26, $C$2:$F$2))</f>
        <v>0</v>
      </c>
    </row>
    <row r="27" spans="1:9">
      <c r="A27" t="s">
        <v>57</v>
      </c>
      <c r="B27">
        <v>6</v>
      </c>
      <c r="C27">
        <v>6.8</v>
      </c>
      <c r="D27">
        <v>3</v>
      </c>
      <c r="E27">
        <v>3.5</v>
      </c>
      <c r="F27">
        <v>4.8</v>
      </c>
      <c r="G27">
        <v>5</v>
      </c>
      <c r="H27" s="2">
        <f>IF(AND(B27&lt;=20, F27&gt;=2.5), "Sí", "No")</f>
        <v>0</v>
      </c>
      <c r="I27" s="3">
        <f>IF(G27="No", 1, SUMPRODUCT(C27:F27, $C$2:$F$2))</f>
        <v>0</v>
      </c>
    </row>
    <row r="28" spans="1:9">
      <c r="A28" t="s">
        <v>59</v>
      </c>
      <c r="B28">
        <v>3</v>
      </c>
      <c r="C28">
        <v>7.9</v>
      </c>
      <c r="D28">
        <v>5.5</v>
      </c>
      <c r="E28">
        <v>6</v>
      </c>
      <c r="F28">
        <v>7</v>
      </c>
      <c r="G28">
        <v>7</v>
      </c>
      <c r="H28" s="2">
        <f>IF(AND(B28&lt;=20, F28&gt;=2.5), "Sí", "No")</f>
        <v>0</v>
      </c>
      <c r="I28" s="3">
        <f>IF(G28="No", 1, SUMPRODUCT(C28:F28, $C$2:$F$2))</f>
        <v>0</v>
      </c>
    </row>
    <row r="29" spans="1:9">
      <c r="A29" t="s">
        <v>61</v>
      </c>
      <c r="B29">
        <v>0</v>
      </c>
      <c r="C29">
        <v>5.4</v>
      </c>
      <c r="D29">
        <v>4.3</v>
      </c>
      <c r="E29">
        <v>7.5</v>
      </c>
      <c r="F29">
        <v>8.300000000000001</v>
      </c>
      <c r="G29">
        <v>6.5</v>
      </c>
      <c r="H29" s="2">
        <f>IF(AND(B29&lt;=20, F29&gt;=2.5), "Sí", "No")</f>
        <v>0</v>
      </c>
      <c r="I29" s="3">
        <f>IF(G29="No", 1, SUMPRODUCT(C29:F29, $C$2:$F$2))</f>
        <v>0</v>
      </c>
    </row>
    <row r="30" spans="1:9">
      <c r="A30" t="s">
        <v>63</v>
      </c>
      <c r="B30">
        <v>79</v>
      </c>
      <c r="C30">
        <v>0</v>
      </c>
      <c r="D30">
        <v>0</v>
      </c>
      <c r="E30">
        <v>0</v>
      </c>
      <c r="F30">
        <v>0</v>
      </c>
      <c r="G30">
        <v>0</v>
      </c>
      <c r="H30" s="2">
        <f>IF(AND(B30&lt;=20, F30&gt;=2.5), "Sí", "No")</f>
        <v>0</v>
      </c>
      <c r="I30" s="3">
        <f>IF(G30="No", 1, SUMPRODUCT(C30:F30, $C$2:$F$2))</f>
        <v>0</v>
      </c>
    </row>
    <row r="31" spans="1:9">
      <c r="A31" t="s">
        <v>65</v>
      </c>
      <c r="B31">
        <v>42</v>
      </c>
      <c r="C31">
        <v>3</v>
      </c>
      <c r="D31">
        <v>1.5</v>
      </c>
      <c r="E31">
        <v>0</v>
      </c>
      <c r="F31">
        <v>0</v>
      </c>
      <c r="G31">
        <v>0</v>
      </c>
      <c r="H31" s="2">
        <f>IF(AND(B31&lt;=20, F31&gt;=2.5), "Sí", "No")</f>
        <v>0</v>
      </c>
      <c r="I31" s="3">
        <f>IF(G31="No", 1, SUMPRODUCT(C31:F31, $C$2:$F$2))</f>
        <v>0</v>
      </c>
    </row>
    <row r="32" spans="1:9">
      <c r="A32" t="s">
        <v>67</v>
      </c>
      <c r="B32">
        <v>6</v>
      </c>
      <c r="C32">
        <v>6.3</v>
      </c>
      <c r="D32">
        <v>4</v>
      </c>
      <c r="E32">
        <v>9</v>
      </c>
      <c r="F32">
        <v>7.3</v>
      </c>
      <c r="G32">
        <v>7</v>
      </c>
      <c r="H32" s="2">
        <f>IF(AND(B32&lt;=20, F32&gt;=2.5), "Sí", "No")</f>
        <v>0</v>
      </c>
      <c r="I32" s="3">
        <f>IF(G32="No", 1, SUMPRODUCT(C32:F32, $C$2:$F$2))</f>
        <v>0</v>
      </c>
    </row>
    <row r="33" spans="1:9">
      <c r="A33" t="s">
        <v>69</v>
      </c>
      <c r="B33">
        <v>0</v>
      </c>
      <c r="C33">
        <v>4.1</v>
      </c>
      <c r="D33">
        <v>3.8</v>
      </c>
      <c r="E33">
        <v>3.5</v>
      </c>
      <c r="F33">
        <v>8.300000000000001</v>
      </c>
      <c r="G33">
        <v>4</v>
      </c>
      <c r="H33" s="2">
        <f>IF(AND(B33&lt;=20, F33&gt;=2.5), "Sí", "No")</f>
        <v>0</v>
      </c>
      <c r="I33" s="3">
        <f>IF(G33="No", 1, SUMPRODUCT(C33:F33, $C$2:$F$2))</f>
        <v>0</v>
      </c>
    </row>
    <row r="34" spans="1:9">
      <c r="A34" t="s">
        <v>71</v>
      </c>
      <c r="B34">
        <v>0</v>
      </c>
      <c r="C34">
        <v>5.4</v>
      </c>
      <c r="D34">
        <v>7.3</v>
      </c>
      <c r="E34">
        <v>4.5</v>
      </c>
      <c r="F34">
        <v>6.3</v>
      </c>
      <c r="G34">
        <v>3.5</v>
      </c>
      <c r="H34" s="2">
        <f>IF(AND(B34&lt;=20, F34&gt;=2.5), "Sí", "No")</f>
        <v>0</v>
      </c>
      <c r="I34" s="3">
        <f>IF(G34="No", 1, SUMPRODUCT(C34:F34, $C$2:$F$2))</f>
        <v>0</v>
      </c>
    </row>
  </sheetData>
  <conditionalFormatting sqref="C3:F34">
    <cfRule type="cellIs" dxfId="0" priority="1" operator="lessThan">
      <formula>2.5</formula>
    </cfRule>
  </conditionalFormatting>
  <conditionalFormatting sqref="I3:I34">
    <cfRule type="cellIs" dxfId="1" priority="2" operator="lessThan">
      <formula>2.5</formula>
    </cfRule>
    <cfRule type="cellIs" dxfId="2" priority="3" operator="greaterThanOrEqual">
      <formula>3.5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s="2">
        <v>0</v>
      </c>
      <c r="C2" s="2">
        <v>0.1</v>
      </c>
      <c r="D2" s="2">
        <v>0.1</v>
      </c>
      <c r="E2" s="2">
        <v>0.1</v>
      </c>
      <c r="F2" s="2">
        <v>0.2</v>
      </c>
      <c r="G2" s="2">
        <v>0.5</v>
      </c>
    </row>
    <row r="3" spans="1:9">
      <c r="A3" t="s">
        <v>11</v>
      </c>
      <c r="B3">
        <f>Notas_Normales!B3</f>
        <v>0</v>
      </c>
      <c r="C3">
        <f>Notas_Normales!C3</f>
        <v>0</v>
      </c>
      <c r="D3">
        <f>Notas_Normales!D3</f>
        <v>0</v>
      </c>
      <c r="E3">
        <f>Notas_Normales!E3</f>
        <v>0</v>
      </c>
      <c r="F3">
        <f>Notas_Normales!F3</f>
        <v>0</v>
      </c>
      <c r="G3">
        <f>Notas_Normales!G3</f>
        <v>0</v>
      </c>
      <c r="H3" s="2">
        <f>Notas_Normales!G3</f>
        <v>0</v>
      </c>
      <c r="I3" s="3">
        <f>Notas_Normales!H3</f>
        <v>0</v>
      </c>
    </row>
    <row r="4" spans="1:9">
      <c r="A4" t="s">
        <v>13</v>
      </c>
      <c r="B4">
        <f>Notas_Normales!B4</f>
        <v>0</v>
      </c>
      <c r="C4">
        <f>Notas_Normales!C4</f>
        <v>0</v>
      </c>
      <c r="D4">
        <f>Notas_Normales!D4</f>
        <v>0</v>
      </c>
      <c r="E4">
        <f>Notas_Normales!E4</f>
        <v>0</v>
      </c>
      <c r="F4">
        <f>Notas_Normales!F4</f>
        <v>0</v>
      </c>
      <c r="G4">
        <f>Notas_Normales!G4</f>
        <v>0</v>
      </c>
      <c r="H4" s="2">
        <f>Notas_Normales!G4</f>
        <v>0</v>
      </c>
      <c r="I4" s="3">
        <f>Notas_Normales!H4</f>
        <v>0</v>
      </c>
    </row>
    <row r="5" spans="1:9">
      <c r="A5" t="s">
        <v>15</v>
      </c>
      <c r="B5">
        <f>Notas_Normales!B5</f>
        <v>0</v>
      </c>
      <c r="C5">
        <f>Notas_Normales!C5</f>
        <v>0</v>
      </c>
      <c r="D5">
        <f>Notas_Normales!D5</f>
        <v>0</v>
      </c>
      <c r="E5">
        <f>Notas_Normales!E5</f>
        <v>0</v>
      </c>
      <c r="F5">
        <f>Notas_Normales!F5</f>
        <v>0</v>
      </c>
      <c r="G5">
        <f>Notas_Normales!G5</f>
        <v>0</v>
      </c>
      <c r="H5" s="2">
        <f>Notas_Normales!G5</f>
        <v>0</v>
      </c>
      <c r="I5" s="3">
        <f>Notas_Normales!H5</f>
        <v>0</v>
      </c>
    </row>
    <row r="6" spans="1:9">
      <c r="A6" t="s">
        <v>17</v>
      </c>
      <c r="B6">
        <f>Notas_Normales!B6</f>
        <v>0</v>
      </c>
      <c r="C6">
        <f>Notas_Normales!C6</f>
        <v>0</v>
      </c>
      <c r="D6">
        <f>Notas_Normales!D6</f>
        <v>0</v>
      </c>
      <c r="E6">
        <f>Notas_Normales!E6</f>
        <v>0</v>
      </c>
      <c r="F6">
        <f>Notas_Normales!F6</f>
        <v>0</v>
      </c>
      <c r="G6">
        <f>Notas_Normales!G6</f>
        <v>0</v>
      </c>
      <c r="H6" s="2">
        <f>Notas_Normales!G6</f>
        <v>0</v>
      </c>
      <c r="I6" s="3">
        <f>Notas_Normales!H6</f>
        <v>0</v>
      </c>
    </row>
    <row r="7" spans="1:9">
      <c r="A7" t="s">
        <v>15</v>
      </c>
      <c r="B7">
        <f>Notas_Normales!B7</f>
        <v>0</v>
      </c>
      <c r="C7">
        <f>Notas_Normales!C7</f>
        <v>0</v>
      </c>
      <c r="D7">
        <f>Notas_Normales!D7</f>
        <v>0</v>
      </c>
      <c r="E7">
        <f>Notas_Normales!E7</f>
        <v>0</v>
      </c>
      <c r="F7">
        <f>Notas_Normales!F7</f>
        <v>0</v>
      </c>
      <c r="G7">
        <f>Notas_Normales!G7</f>
        <v>0</v>
      </c>
      <c r="H7" s="2">
        <f>Notas_Normales!G7</f>
        <v>0</v>
      </c>
      <c r="I7" s="3">
        <f>Notas_Normales!H7</f>
        <v>0</v>
      </c>
    </row>
    <row r="8" spans="1:9">
      <c r="A8" t="s">
        <v>20</v>
      </c>
      <c r="B8">
        <f>Notas_Normales!B8</f>
        <v>0</v>
      </c>
      <c r="C8">
        <f>Notas_Normales!C8</f>
        <v>0</v>
      </c>
      <c r="D8">
        <f>Notas_Normales!D8</f>
        <v>0</v>
      </c>
      <c r="E8">
        <f>Notas_Normales!E8</f>
        <v>0</v>
      </c>
      <c r="F8">
        <f>Notas_Normales!F8</f>
        <v>0</v>
      </c>
      <c r="G8">
        <f>Notas_Normales!G8</f>
        <v>0</v>
      </c>
      <c r="H8" s="2">
        <f>Notas_Normales!G8</f>
        <v>0</v>
      </c>
      <c r="I8" s="3">
        <f>Notas_Normales!H8</f>
        <v>0</v>
      </c>
    </row>
    <row r="9" spans="1:9">
      <c r="A9" t="s">
        <v>22</v>
      </c>
      <c r="B9">
        <f>Notas_Normales!B9</f>
        <v>0</v>
      </c>
      <c r="C9">
        <f>Notas_Normales!C9</f>
        <v>0</v>
      </c>
      <c r="D9">
        <f>Notas_Normales!D9</f>
        <v>0</v>
      </c>
      <c r="E9">
        <f>Notas_Normales!E9</f>
        <v>0</v>
      </c>
      <c r="F9">
        <f>Notas_Normales!F9</f>
        <v>0</v>
      </c>
      <c r="G9">
        <f>Notas_Normales!G9</f>
        <v>0</v>
      </c>
      <c r="H9" s="2">
        <f>Notas_Normales!G9</f>
        <v>0</v>
      </c>
      <c r="I9" s="3">
        <f>Notas_Normales!H9</f>
        <v>0</v>
      </c>
    </row>
    <row r="10" spans="1:9">
      <c r="A10" t="s">
        <v>24</v>
      </c>
      <c r="B10">
        <f>Notas_Normales!B10</f>
        <v>0</v>
      </c>
      <c r="C10">
        <f>Notas_Normales!C10</f>
        <v>0</v>
      </c>
      <c r="D10">
        <f>Notas_Normales!D10</f>
        <v>0</v>
      </c>
      <c r="E10">
        <f>Notas_Normales!E10</f>
        <v>0</v>
      </c>
      <c r="F10">
        <f>Notas_Normales!F10</f>
        <v>0</v>
      </c>
      <c r="G10">
        <f>Notas_Normales!G10</f>
        <v>0</v>
      </c>
      <c r="H10" s="2">
        <f>Notas_Normales!G10</f>
        <v>0</v>
      </c>
      <c r="I10" s="3">
        <f>Notas_Normales!H10</f>
        <v>0</v>
      </c>
    </row>
    <row r="11" spans="1:9">
      <c r="A11" t="s">
        <v>26</v>
      </c>
      <c r="B11">
        <f>Notas_Normales!B11</f>
        <v>0</v>
      </c>
      <c r="C11">
        <f>Notas_Normales!C11</f>
        <v>0</v>
      </c>
      <c r="D11">
        <f>Notas_Normales!D11</f>
        <v>0</v>
      </c>
      <c r="E11">
        <f>Notas_Normales!E11</f>
        <v>0</v>
      </c>
      <c r="F11">
        <f>Notas_Normales!F11</f>
        <v>0</v>
      </c>
      <c r="G11">
        <f>Notas_Normales!G11</f>
        <v>0</v>
      </c>
      <c r="H11" s="2">
        <f>Notas_Normales!G11</f>
        <v>0</v>
      </c>
      <c r="I11" s="3">
        <f>Notas_Normales!H11</f>
        <v>0</v>
      </c>
    </row>
    <row r="12" spans="1:9">
      <c r="A12" t="s">
        <v>28</v>
      </c>
      <c r="B12">
        <f>Notas_Normales!B12</f>
        <v>0</v>
      </c>
      <c r="C12">
        <f>Notas_Normales!C12</f>
        <v>0</v>
      </c>
      <c r="D12">
        <f>Notas_Normales!D12</f>
        <v>0</v>
      </c>
      <c r="E12">
        <f>Notas_Normales!E12</f>
        <v>0</v>
      </c>
      <c r="F12">
        <f>Notas_Normales!F12</f>
        <v>0</v>
      </c>
      <c r="G12">
        <f>Notas_Normales!G12</f>
        <v>0</v>
      </c>
      <c r="H12" s="2">
        <f>Notas_Normales!G12</f>
        <v>0</v>
      </c>
      <c r="I12" s="3">
        <f>Notas_Normales!H12</f>
        <v>0</v>
      </c>
    </row>
    <row r="13" spans="1:9">
      <c r="A13" t="s">
        <v>30</v>
      </c>
      <c r="B13">
        <f>Notas_Normales!B13</f>
        <v>0</v>
      </c>
      <c r="C13">
        <f>Notas_Normales!C13</f>
        <v>0</v>
      </c>
      <c r="D13">
        <f>Notas_Normales!D13</f>
        <v>0</v>
      </c>
      <c r="E13">
        <f>Notas_Normales!E13</f>
        <v>0</v>
      </c>
      <c r="F13">
        <f>Notas_Normales!F13</f>
        <v>0</v>
      </c>
      <c r="G13">
        <f>Notas_Normales!G13</f>
        <v>0</v>
      </c>
      <c r="H13" s="2">
        <f>Notas_Normales!G13</f>
        <v>0</v>
      </c>
      <c r="I13" s="3">
        <f>Notas_Normales!H13</f>
        <v>0</v>
      </c>
    </row>
    <row r="14" spans="1:9">
      <c r="A14" t="s">
        <v>32</v>
      </c>
      <c r="B14">
        <f>Notas_Normales!B14</f>
        <v>0</v>
      </c>
      <c r="C14">
        <f>Notas_Normales!C14</f>
        <v>0</v>
      </c>
      <c r="D14">
        <f>Notas_Normales!D14</f>
        <v>0</v>
      </c>
      <c r="E14">
        <f>Notas_Normales!E14</f>
        <v>0</v>
      </c>
      <c r="F14">
        <f>Notas_Normales!F14</f>
        <v>0</v>
      </c>
      <c r="G14">
        <f>Notas_Normales!G14</f>
        <v>0</v>
      </c>
      <c r="H14" s="2">
        <f>Notas_Normales!G14</f>
        <v>0</v>
      </c>
      <c r="I14" s="3">
        <f>Notas_Normales!H14</f>
        <v>0</v>
      </c>
    </row>
    <row r="15" spans="1:9">
      <c r="A15" t="s">
        <v>34</v>
      </c>
      <c r="B15">
        <f>Notas_Normales!B15</f>
        <v>0</v>
      </c>
      <c r="C15">
        <f>Notas_Normales!C15</f>
        <v>0</v>
      </c>
      <c r="D15">
        <f>Notas_Normales!D15</f>
        <v>0</v>
      </c>
      <c r="E15">
        <f>Notas_Normales!E15</f>
        <v>0</v>
      </c>
      <c r="F15">
        <f>Notas_Normales!F15</f>
        <v>0</v>
      </c>
      <c r="G15">
        <f>Notas_Normales!G15</f>
        <v>0</v>
      </c>
      <c r="H15" s="2">
        <f>Notas_Normales!G15</f>
        <v>0</v>
      </c>
      <c r="I15" s="3">
        <f>Notas_Normales!H15</f>
        <v>0</v>
      </c>
    </row>
    <row r="16" spans="1:9">
      <c r="A16" t="s">
        <v>36</v>
      </c>
      <c r="B16">
        <f>Notas_Normales!B16</f>
        <v>0</v>
      </c>
      <c r="C16">
        <f>Notas_Normales!C16</f>
        <v>0</v>
      </c>
      <c r="D16">
        <f>Notas_Normales!D16</f>
        <v>0</v>
      </c>
      <c r="E16">
        <f>Notas_Normales!E16</f>
        <v>0</v>
      </c>
      <c r="F16">
        <f>Notas_Normales!F16</f>
        <v>0</v>
      </c>
      <c r="G16">
        <f>Notas_Normales!G16</f>
        <v>0</v>
      </c>
      <c r="H16" s="2">
        <f>Notas_Normales!G16</f>
        <v>0</v>
      </c>
      <c r="I16" s="3">
        <f>Notas_Normales!H16</f>
        <v>0</v>
      </c>
    </row>
    <row r="17" spans="1:9">
      <c r="A17" t="s">
        <v>38</v>
      </c>
      <c r="B17">
        <f>Notas_Normales!B17</f>
        <v>0</v>
      </c>
      <c r="C17">
        <f>Notas_Normales!C17</f>
        <v>0</v>
      </c>
      <c r="D17">
        <f>Notas_Normales!D17</f>
        <v>0</v>
      </c>
      <c r="E17">
        <f>Notas_Normales!E17</f>
        <v>0</v>
      </c>
      <c r="F17">
        <f>Notas_Normales!F17</f>
        <v>0</v>
      </c>
      <c r="G17">
        <f>Notas_Normales!G17</f>
        <v>0</v>
      </c>
      <c r="H17" s="2">
        <f>Notas_Normales!G17</f>
        <v>0</v>
      </c>
      <c r="I17" s="3">
        <f>Notas_Normales!H17</f>
        <v>0</v>
      </c>
    </row>
    <row r="18" spans="1:9">
      <c r="A18" t="s">
        <v>40</v>
      </c>
      <c r="B18">
        <f>Notas_Normales!B18</f>
        <v>0</v>
      </c>
      <c r="C18">
        <f>Notas_Normales!C18</f>
        <v>0</v>
      </c>
      <c r="D18">
        <f>Notas_Normales!D18</f>
        <v>0</v>
      </c>
      <c r="E18">
        <f>Notas_Normales!E18</f>
        <v>0</v>
      </c>
      <c r="F18">
        <f>Notas_Normales!F18</f>
        <v>0</v>
      </c>
      <c r="G18">
        <f>Notas_Normales!G18</f>
        <v>0</v>
      </c>
      <c r="H18" s="2">
        <f>Notas_Normales!G18</f>
        <v>0</v>
      </c>
      <c r="I18" s="3">
        <f>Notas_Normales!H18</f>
        <v>0</v>
      </c>
    </row>
    <row r="19" spans="1:9">
      <c r="A19" t="s">
        <v>42</v>
      </c>
      <c r="B19">
        <f>Notas_Normales!B19</f>
        <v>0</v>
      </c>
      <c r="C19">
        <f>Notas_Normales!C19</f>
        <v>0</v>
      </c>
      <c r="D19">
        <f>Notas_Normales!D19</f>
        <v>0</v>
      </c>
      <c r="E19">
        <f>Notas_Normales!E19</f>
        <v>0</v>
      </c>
      <c r="F19">
        <f>Notas_Normales!F19</f>
        <v>0</v>
      </c>
      <c r="G19">
        <f>Notas_Normales!G19</f>
        <v>0</v>
      </c>
      <c r="H19" s="2">
        <f>Notas_Normales!G19</f>
        <v>0</v>
      </c>
      <c r="I19" s="3">
        <f>Notas_Normales!H19</f>
        <v>0</v>
      </c>
    </row>
    <row r="20" spans="1:9">
      <c r="A20" t="s">
        <v>44</v>
      </c>
      <c r="B20">
        <f>Notas_Normales!B20</f>
        <v>0</v>
      </c>
      <c r="C20">
        <f>Notas_Normales!C20</f>
        <v>0</v>
      </c>
      <c r="D20">
        <f>Notas_Normales!D20</f>
        <v>0</v>
      </c>
      <c r="E20">
        <f>Notas_Normales!E20</f>
        <v>0</v>
      </c>
      <c r="F20">
        <f>Notas_Normales!F20</f>
        <v>0</v>
      </c>
      <c r="G20">
        <f>Notas_Normales!G20</f>
        <v>0</v>
      </c>
      <c r="H20" s="2">
        <f>Notas_Normales!G20</f>
        <v>0</v>
      </c>
      <c r="I20" s="3">
        <f>Notas_Normales!H20</f>
        <v>0</v>
      </c>
    </row>
    <row r="21" spans="1:9">
      <c r="A21" t="s">
        <v>46</v>
      </c>
      <c r="B21">
        <f>Notas_Normales!B21</f>
        <v>0</v>
      </c>
      <c r="C21">
        <f>Notas_Normales!C21</f>
        <v>0</v>
      </c>
      <c r="D21">
        <f>Notas_Normales!D21</f>
        <v>0</v>
      </c>
      <c r="E21">
        <f>Notas_Normales!E21</f>
        <v>0</v>
      </c>
      <c r="F21">
        <f>Notas_Normales!F21</f>
        <v>0</v>
      </c>
      <c r="G21">
        <f>Notas_Normales!G21</f>
        <v>0</v>
      </c>
      <c r="H21" s="2">
        <f>Notas_Normales!G21</f>
        <v>0</v>
      </c>
      <c r="I21" s="3">
        <f>Notas_Normales!H21</f>
        <v>0</v>
      </c>
    </row>
    <row r="22" spans="1:9">
      <c r="A22" t="s">
        <v>48</v>
      </c>
      <c r="B22">
        <f>Notas_Normales!B22</f>
        <v>0</v>
      </c>
      <c r="C22">
        <f>Notas_Normales!C22</f>
        <v>0</v>
      </c>
      <c r="D22">
        <f>Notas_Normales!D22</f>
        <v>0</v>
      </c>
      <c r="E22">
        <f>Notas_Normales!E22</f>
        <v>0</v>
      </c>
      <c r="F22">
        <f>Notas_Normales!F22</f>
        <v>0</v>
      </c>
      <c r="G22">
        <f>Notas_Normales!G22</f>
        <v>0</v>
      </c>
      <c r="H22" s="2">
        <f>Notas_Normales!G22</f>
        <v>0</v>
      </c>
      <c r="I22" s="3">
        <f>Notas_Normales!H22</f>
        <v>0</v>
      </c>
    </row>
    <row r="23" spans="1:9">
      <c r="A23" t="s">
        <v>50</v>
      </c>
      <c r="B23">
        <f>Notas_Normales!B23</f>
        <v>0</v>
      </c>
      <c r="C23">
        <f>Notas_Normales!C23</f>
        <v>0</v>
      </c>
      <c r="D23">
        <f>Notas_Normales!D23</f>
        <v>0</v>
      </c>
      <c r="E23">
        <f>Notas_Normales!E23</f>
        <v>0</v>
      </c>
      <c r="F23">
        <f>Notas_Normales!F23</f>
        <v>0</v>
      </c>
      <c r="G23">
        <f>Notas_Normales!G23</f>
        <v>0</v>
      </c>
      <c r="H23" s="2">
        <f>Notas_Normales!G23</f>
        <v>0</v>
      </c>
      <c r="I23" s="3">
        <f>Notas_Normales!H23</f>
        <v>0</v>
      </c>
    </row>
    <row r="24" spans="1:9">
      <c r="A24" t="s">
        <v>52</v>
      </c>
      <c r="B24">
        <f>Notas_Normales!B24</f>
        <v>0</v>
      </c>
      <c r="C24">
        <f>Notas_Normales!C24</f>
        <v>0</v>
      </c>
      <c r="D24">
        <f>Notas_Normales!D24</f>
        <v>0</v>
      </c>
      <c r="E24">
        <f>Notas_Normales!E24</f>
        <v>0</v>
      </c>
      <c r="F24">
        <f>Notas_Normales!F24</f>
        <v>0</v>
      </c>
      <c r="G24">
        <f>Notas_Normales!G24</f>
        <v>0</v>
      </c>
      <c r="H24" s="2">
        <f>Notas_Normales!G24</f>
        <v>0</v>
      </c>
      <c r="I24" s="3">
        <f>Notas_Normales!H24</f>
        <v>0</v>
      </c>
    </row>
    <row r="25" spans="1:9">
      <c r="A25" t="s">
        <v>54</v>
      </c>
      <c r="B25">
        <f>Notas_Normales!B25</f>
        <v>0</v>
      </c>
      <c r="C25">
        <f>Notas_Normales!C25</f>
        <v>0</v>
      </c>
      <c r="D25">
        <f>Notas_Normales!D25</f>
        <v>0</v>
      </c>
      <c r="E25">
        <f>Notas_Normales!E25</f>
        <v>0</v>
      </c>
      <c r="F25">
        <f>Notas_Normales!F25</f>
        <v>0</v>
      </c>
      <c r="G25">
        <f>Notas_Normales!G25</f>
        <v>0</v>
      </c>
      <c r="H25" s="2">
        <f>Notas_Normales!G25</f>
        <v>0</v>
      </c>
      <c r="I25" s="3">
        <f>Notas_Normales!H25</f>
        <v>0</v>
      </c>
    </row>
    <row r="26" spans="1:9">
      <c r="A26" t="s">
        <v>56</v>
      </c>
      <c r="B26">
        <f>Notas_Normales!B26</f>
        <v>0</v>
      </c>
      <c r="C26">
        <f>Notas_Normales!C26</f>
        <v>0</v>
      </c>
      <c r="D26">
        <f>Notas_Normales!D26</f>
        <v>0</v>
      </c>
      <c r="E26">
        <f>Notas_Normales!E26</f>
        <v>0</v>
      </c>
      <c r="F26">
        <f>Notas_Normales!F26</f>
        <v>0</v>
      </c>
      <c r="G26">
        <f>Notas_Normales!G26</f>
        <v>0</v>
      </c>
      <c r="H26" s="2">
        <f>Notas_Normales!G26</f>
        <v>0</v>
      </c>
      <c r="I26" s="3">
        <f>Notas_Normales!H26</f>
        <v>0</v>
      </c>
    </row>
    <row r="27" spans="1:9">
      <c r="A27" t="s">
        <v>58</v>
      </c>
      <c r="B27">
        <f>Notas_Normales!B27</f>
        <v>0</v>
      </c>
      <c r="C27">
        <f>Notas_Normales!C27</f>
        <v>0</v>
      </c>
      <c r="D27">
        <f>Notas_Normales!D27</f>
        <v>0</v>
      </c>
      <c r="E27">
        <f>Notas_Normales!E27</f>
        <v>0</v>
      </c>
      <c r="F27">
        <f>Notas_Normales!F27</f>
        <v>0</v>
      </c>
      <c r="G27">
        <f>Notas_Normales!G27</f>
        <v>0</v>
      </c>
      <c r="H27" s="2">
        <f>Notas_Normales!G27</f>
        <v>0</v>
      </c>
      <c r="I27" s="3">
        <f>Notas_Normales!H27</f>
        <v>0</v>
      </c>
    </row>
    <row r="28" spans="1:9">
      <c r="A28" t="s">
        <v>60</v>
      </c>
      <c r="B28">
        <f>Notas_Normales!B28</f>
        <v>0</v>
      </c>
      <c r="C28">
        <f>Notas_Normales!C28</f>
        <v>0</v>
      </c>
      <c r="D28">
        <f>Notas_Normales!D28</f>
        <v>0</v>
      </c>
      <c r="E28">
        <f>Notas_Normales!E28</f>
        <v>0</v>
      </c>
      <c r="F28">
        <f>Notas_Normales!F28</f>
        <v>0</v>
      </c>
      <c r="G28">
        <f>Notas_Normales!G28</f>
        <v>0</v>
      </c>
      <c r="H28" s="2">
        <f>Notas_Normales!G28</f>
        <v>0</v>
      </c>
      <c r="I28" s="3">
        <f>Notas_Normales!H28</f>
        <v>0</v>
      </c>
    </row>
    <row r="29" spans="1:9">
      <c r="A29" t="s">
        <v>62</v>
      </c>
      <c r="B29">
        <f>Notas_Normales!B29</f>
        <v>0</v>
      </c>
      <c r="C29">
        <f>Notas_Normales!C29</f>
        <v>0</v>
      </c>
      <c r="D29">
        <f>Notas_Normales!D29</f>
        <v>0</v>
      </c>
      <c r="E29">
        <f>Notas_Normales!E29</f>
        <v>0</v>
      </c>
      <c r="F29">
        <f>Notas_Normales!F29</f>
        <v>0</v>
      </c>
      <c r="G29">
        <f>Notas_Normales!G29</f>
        <v>0</v>
      </c>
      <c r="H29" s="2">
        <f>Notas_Normales!G29</f>
        <v>0</v>
      </c>
      <c r="I29" s="3">
        <f>Notas_Normales!H29</f>
        <v>0</v>
      </c>
    </row>
    <row r="30" spans="1:9">
      <c r="A30" t="s">
        <v>64</v>
      </c>
      <c r="B30">
        <f>Notas_Normales!B30</f>
        <v>0</v>
      </c>
      <c r="C30">
        <f>Notas_Normales!C30</f>
        <v>0</v>
      </c>
      <c r="D30">
        <f>Notas_Normales!D30</f>
        <v>0</v>
      </c>
      <c r="E30">
        <f>Notas_Normales!E30</f>
        <v>0</v>
      </c>
      <c r="F30">
        <f>Notas_Normales!F30</f>
        <v>0</v>
      </c>
      <c r="G30">
        <f>Notas_Normales!G30</f>
        <v>0</v>
      </c>
      <c r="H30" s="2">
        <f>Notas_Normales!G30</f>
        <v>0</v>
      </c>
      <c r="I30" s="3">
        <f>Notas_Normales!H30</f>
        <v>0</v>
      </c>
    </row>
    <row r="31" spans="1:9">
      <c r="A31" t="s">
        <v>66</v>
      </c>
      <c r="B31">
        <f>Notas_Normales!B31</f>
        <v>0</v>
      </c>
      <c r="C31">
        <f>Notas_Normales!C31</f>
        <v>0</v>
      </c>
      <c r="D31">
        <f>Notas_Normales!D31</f>
        <v>0</v>
      </c>
      <c r="E31">
        <f>Notas_Normales!E31</f>
        <v>0</v>
      </c>
      <c r="F31">
        <f>Notas_Normales!F31</f>
        <v>0</v>
      </c>
      <c r="G31">
        <f>Notas_Normales!G31</f>
        <v>0</v>
      </c>
      <c r="H31" s="2">
        <f>Notas_Normales!G31</f>
        <v>0</v>
      </c>
      <c r="I31" s="3">
        <f>Notas_Normales!H31</f>
        <v>0</v>
      </c>
    </row>
    <row r="32" spans="1:9">
      <c r="A32" t="s">
        <v>68</v>
      </c>
      <c r="B32">
        <f>Notas_Normales!B32</f>
        <v>0</v>
      </c>
      <c r="C32">
        <f>Notas_Normales!C32</f>
        <v>0</v>
      </c>
      <c r="D32">
        <f>Notas_Normales!D32</f>
        <v>0</v>
      </c>
      <c r="E32">
        <f>Notas_Normales!E32</f>
        <v>0</v>
      </c>
      <c r="F32">
        <f>Notas_Normales!F32</f>
        <v>0</v>
      </c>
      <c r="G32">
        <f>Notas_Normales!G32</f>
        <v>0</v>
      </c>
      <c r="H32" s="2">
        <f>Notas_Normales!G32</f>
        <v>0</v>
      </c>
      <c r="I32" s="3">
        <f>Notas_Normales!H32</f>
        <v>0</v>
      </c>
    </row>
    <row r="33" spans="1:9">
      <c r="A33" t="s">
        <v>70</v>
      </c>
      <c r="B33">
        <f>Notas_Normales!B33</f>
        <v>0</v>
      </c>
      <c r="C33">
        <f>Notas_Normales!C33</f>
        <v>0</v>
      </c>
      <c r="D33">
        <f>Notas_Normales!D33</f>
        <v>0</v>
      </c>
      <c r="E33">
        <f>Notas_Normales!E33</f>
        <v>0</v>
      </c>
      <c r="F33">
        <f>Notas_Normales!F33</f>
        <v>0</v>
      </c>
      <c r="G33">
        <f>Notas_Normales!G33</f>
        <v>0</v>
      </c>
      <c r="H33" s="2">
        <f>Notas_Normales!G33</f>
        <v>0</v>
      </c>
      <c r="I33" s="3">
        <f>Notas_Normales!H33</f>
        <v>0</v>
      </c>
    </row>
    <row r="34" spans="1:9">
      <c r="A34" t="s">
        <v>72</v>
      </c>
      <c r="B34">
        <f>Notas_Normales!B34</f>
        <v>0</v>
      </c>
      <c r="C34">
        <f>Notas_Normales!C34</f>
        <v>0</v>
      </c>
      <c r="D34">
        <f>Notas_Normales!D34</f>
        <v>0</v>
      </c>
      <c r="E34">
        <f>Notas_Normales!E34</f>
        <v>0</v>
      </c>
      <c r="F34">
        <f>Notas_Normales!F34</f>
        <v>0</v>
      </c>
      <c r="G34">
        <f>Notas_Normales!G34</f>
        <v>0</v>
      </c>
      <c r="H34" s="2">
        <f>Notas_Normales!G34</f>
        <v>0</v>
      </c>
      <c r="I34" s="3">
        <f>Notas_Normales!H34</f>
        <v>0</v>
      </c>
    </row>
  </sheetData>
  <conditionalFormatting sqref="C3:F34">
    <cfRule type="cellIs" dxfId="0" priority="1" operator="lessThan">
      <formula>2.5</formula>
    </cfRule>
  </conditionalFormatting>
  <conditionalFormatting sqref="I3:I34">
    <cfRule type="cellIs" dxfId="1" priority="2" operator="lessThan">
      <formula>2.5</formula>
    </cfRule>
    <cfRule type="cellIs" dxfId="2" priority="3" operator="greaterThanOrEqual">
      <formula>3.5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Notas Normales</vt:lpstr>
      <vt:lpstr>Notas Anónimas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2024-12-17T17:42:56Z</dcterms:created>
  <dcterms:modified xsi:type="dcterms:W3CDTF">2024-12-17T17:42:56Z</dcterms:modified>
</cp:coreProperties>
</file>